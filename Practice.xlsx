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s\OneDrive\Documents\"/>
    </mc:Choice>
  </mc:AlternateContent>
  <xr:revisionPtr revIDLastSave="0" documentId="8_{FAEA9FC9-194E-4A6C-A9F6-FB5DCD6BAAD6}" xr6:coauthVersionLast="47" xr6:coauthVersionMax="47" xr10:uidLastSave="{00000000-0000-0000-0000-000000000000}"/>
  <bookViews>
    <workbookView xWindow="-120" yWindow="-120" windowWidth="29040" windowHeight="15720" xr2:uid="{CC452283-2562-4600-97DB-0180FF5DFEFB}"/>
  </bookViews>
  <sheets>
    <sheet name="Monthly_Sales_Data " sheetId="1" r:id="rId1"/>
    <sheet name="Fixed_Operation_Costs" sheetId="2" r:id="rId2"/>
    <sheet name="Product_Return_Rates" sheetId="3" r:id="rId3"/>
    <sheet name="Regional_Discounts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</calcChain>
</file>

<file path=xl/sharedStrings.xml><?xml version="1.0" encoding="utf-8"?>
<sst xmlns="http://schemas.openxmlformats.org/spreadsheetml/2006/main" count="132" uniqueCount="36">
  <si>
    <t>Month</t>
  </si>
  <si>
    <t>Region</t>
  </si>
  <si>
    <t>Product_ID</t>
  </si>
  <si>
    <t>Units_Sold</t>
  </si>
  <si>
    <t>Unit_Price</t>
  </si>
  <si>
    <t>Unit_Cost</t>
  </si>
  <si>
    <t>Marketing_Spend</t>
  </si>
  <si>
    <t>Refund_Amount</t>
  </si>
  <si>
    <t>Jan</t>
  </si>
  <si>
    <t>West</t>
  </si>
  <si>
    <t>P101</t>
  </si>
  <si>
    <t>P102</t>
  </si>
  <si>
    <t>East</t>
  </si>
  <si>
    <t>P103</t>
  </si>
  <si>
    <t>South</t>
  </si>
  <si>
    <t>P104</t>
  </si>
  <si>
    <t>North</t>
  </si>
  <si>
    <t>Feb</t>
  </si>
  <si>
    <t>P105</t>
  </si>
  <si>
    <t>Mar</t>
  </si>
  <si>
    <t>Apr</t>
  </si>
  <si>
    <t>May</t>
  </si>
  <si>
    <t>Jun</t>
  </si>
  <si>
    <t>Rent</t>
  </si>
  <si>
    <t>Salaries</t>
  </si>
  <si>
    <t>Utilities</t>
  </si>
  <si>
    <t>Software_Subscriptions</t>
  </si>
  <si>
    <t>Logistics</t>
  </si>
  <si>
    <t>Insurance</t>
  </si>
  <si>
    <t>Return_Rate (%)</t>
  </si>
  <si>
    <t>Avg_Discount (%)</t>
  </si>
  <si>
    <t xml:space="preserve">Gross Revenue </t>
  </si>
  <si>
    <t xml:space="preserve">Cost Of Good Sold </t>
  </si>
  <si>
    <t xml:space="preserve">Adjsut for Discounts </t>
  </si>
  <si>
    <t xml:space="preserve">Discounts </t>
  </si>
  <si>
    <t>Return_Rate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</si>
</sst>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30"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1BE7FA-AF50-4930-A7A5-1694A40E22D6}" name="Table1" displayName="Table1" ref="A1:M32" totalsRowShown="0" headerRowDxfId="29" dataDxfId="28">
  <autoFilter ref="A1:M32" xr:uid="{511BE7FA-AF50-4930-A7A5-1694A40E22D6}"/>
  <tableColumns count="13">
    <tableColumn id="1" xr3:uid="{1FFBBF5E-50EF-4732-B245-634A833D6E9C}" name="Month" dataDxfId="27"/>
    <tableColumn id="2" xr3:uid="{808BF5D2-C50A-46BA-92E8-7F70CFE5DB81}" name="Region" dataDxfId="26"/>
    <tableColumn id="3" xr3:uid="{5C0CB231-931F-4CA0-B390-192B3B736E28}" name="Product_ID" dataDxfId="25"/>
    <tableColumn id="4" xr3:uid="{B30781A7-5D97-4C67-8C70-2B9291B8FFEC}" name="Units_Sold" dataDxfId="24"/>
    <tableColumn id="5" xr3:uid="{88309D5E-41A0-4B0E-9859-D4BEE25BBE32}" name="Unit_Price" dataDxfId="23"/>
    <tableColumn id="6" xr3:uid="{5C6F8938-E2E3-4041-9FE3-D7324CBA9E1C}" name="Unit_Cost" dataDxfId="22"/>
    <tableColumn id="7" xr3:uid="{F9FD482D-79F4-43EB-B962-DCFF06197930}" name="Marketing_Spend" dataDxfId="21"/>
    <tableColumn id="8" xr3:uid="{B09D01CB-FB5E-4220-9CF2-026207C4789F}" name="Refund_Amount" dataDxfId="20"/>
    <tableColumn id="11" xr3:uid="{FB219C14-5622-4E74-804F-10DE196DAE55}" name="Gross Revenue " dataDxfId="19">
      <calculatedColumnFormula>Table1[[#This Row],[Units_Sold]]*Table1[[#This Row],[Unit_Price]]</calculatedColumnFormula>
    </tableColumn>
    <tableColumn id="12" xr3:uid="{473EC779-DB9E-437D-80D9-196573ABE86E}" name="Discounts " dataDxfId="18">
      <calculatedColumnFormula>_xlfn.XLOOKUP(Table1[[#This Row],[Region]],Discounts[Region],Discounts[Avg_Discount (%)])</calculatedColumnFormula>
    </tableColumn>
    <tableColumn id="10" xr3:uid="{F36F578E-2AC5-412B-8B3D-EBBA14B8BE98}" name="Cost Of Good Sold " dataDxfId="17">
      <calculatedColumnFormula>Table1[[#This Row],[Units_Sold]]*Table1[[#This Row],[Unit_Cost]]</calculatedColumnFormula>
    </tableColumn>
    <tableColumn id="9" xr3:uid="{F9A7A6FA-18EC-4C4A-AE9B-2016DCBD087B}" name="Adjsut for Discounts " dataDxfId="16">
      <calculatedColumnFormula>Table1[[#This Row],[Gross Revenue ]]*(1-Table1[[#This Row],[Discounts ]]%)</calculatedColumnFormula>
    </tableColumn>
    <tableColumn id="13" xr3:uid="{8DD0F43F-DF0A-4CC2-A39C-5077C18B78DA}" name="Return_Rate" dataDxfId="15">
      <calculatedColumnFormula>_xlfn.XLOOKUP(Table1[[#This Row],[Product_ID]],Return_Rates[Product_ID],Return_Rates[Return_Rate (%)])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01D501-6B45-4440-96AD-E7CEE33BA46B}" name="Operations" displayName="Operations" ref="A1:G7" totalsRowShown="0" headerRowDxfId="14" dataDxfId="13">
  <autoFilter ref="A1:G7" xr:uid="{C001D501-6B45-4440-96AD-E7CEE33BA46B}"/>
  <tableColumns count="7">
    <tableColumn id="1" xr3:uid="{91AF6CF5-9373-4256-9486-114A13CA819D}" name="Month" dataDxfId="12"/>
    <tableColumn id="2" xr3:uid="{6ED9B990-01D9-4454-9CAC-27E0CBC377D4}" name="Rent" dataDxfId="11"/>
    <tableColumn id="3" xr3:uid="{7EA1488E-2795-4F9D-8ED3-A17F7AB69022}" name="Salaries" dataDxfId="10"/>
    <tableColumn id="4" xr3:uid="{D10979A0-D07C-4DAB-9D89-63EE3A04C708}" name="Utilities" dataDxfId="9"/>
    <tableColumn id="5" xr3:uid="{6709710A-EBDC-4D6C-9666-21CBF61453D5}" name="Software_Subscriptions" dataDxfId="8"/>
    <tableColumn id="6" xr3:uid="{7401715F-BECE-4BE9-B32C-C63132574231}" name="Logistics" dataDxfId="7"/>
    <tableColumn id="7" xr3:uid="{7263A1C4-DC3E-4C3E-9DC5-B9C229A125C6}" name="Insuranc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2BEACB-EDE7-481C-876A-EFCFED08311B}" name="Return_Rates" displayName="Return_Rates" ref="A1:B6" totalsRowShown="0" headerRowDxfId="5">
  <autoFilter ref="A1:B6" xr:uid="{732BEACB-EDE7-481C-876A-EFCFED08311B}"/>
  <tableColumns count="2">
    <tableColumn id="1" xr3:uid="{9D554F3F-BAAF-4F66-8EF1-6279F6B91C21}" name="Product_ID" dataDxfId="4"/>
    <tableColumn id="2" xr3:uid="{A6C0EC63-A1D4-4504-9E51-472AE754E863}" name="Return_Rate (%)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EB443B-18C2-4846-B637-B945F75E206E}" name="Discounts" displayName="Discounts" ref="A1:B5" totalsRowShown="0" headerRowDxfId="2">
  <autoFilter ref="A1:B5" xr:uid="{17EB443B-18C2-4846-B637-B945F75E206E}"/>
  <tableColumns count="2">
    <tableColumn id="1" xr3:uid="{6A1C612E-50D2-4A90-9D1A-4FE3AF079044}" name="Region" dataDxfId="1"/>
    <tableColumn id="2" xr3:uid="{0E65D958-A172-42F1-BA84-5DCEFF00F493}" name="Avg_Discount (%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7FDD-B117-468D-9F2D-46F45BCDA601}">
  <dimension ref="A1:M32"/>
  <sheetViews>
    <sheetView tabSelected="1" workbookViewId="0">
      <selection activeCell="N6" sqref="N6"/>
    </sheetView>
  </sheetViews>
  <sheetFormatPr defaultRowHeight="15" x14ac:dyDescent="0.25"/>
  <cols>
    <col min="2" max="2" width="9.42578125" customWidth="1"/>
    <col min="3" max="3" width="13" customWidth="1"/>
    <col min="4" max="4" width="12.7109375" customWidth="1"/>
    <col min="5" max="5" width="12.28515625" customWidth="1"/>
    <col min="6" max="6" width="12" customWidth="1"/>
    <col min="7" max="7" width="18.5703125" customWidth="1"/>
    <col min="8" max="8" width="17.5703125" customWidth="1"/>
    <col min="9" max="9" width="12.42578125" customWidth="1"/>
    <col min="10" max="10" width="13.7109375" customWidth="1"/>
    <col min="11" max="12" width="14.140625" customWidth="1"/>
    <col min="13" max="13" width="15.4257812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31</v>
      </c>
      <c r="J1" s="1" t="s">
        <v>34</v>
      </c>
      <c r="K1" s="1" t="s">
        <v>32</v>
      </c>
      <c r="L1" s="1" t="s">
        <v>33</v>
      </c>
      <c r="M1" s="1" t="s">
        <v>35</v>
      </c>
    </row>
    <row r="2" spans="1:13" x14ac:dyDescent="0.25">
      <c r="A2" s="2" t="s">
        <v>8</v>
      </c>
      <c r="B2" s="2" t="s">
        <v>9</v>
      </c>
      <c r="C2" s="2" t="s">
        <v>10</v>
      </c>
      <c r="D2" s="2">
        <v>420</v>
      </c>
      <c r="E2" s="2">
        <v>120</v>
      </c>
      <c r="F2" s="2">
        <v>95</v>
      </c>
      <c r="G2" s="2">
        <v>15000</v>
      </c>
      <c r="H2" s="2">
        <v>3200</v>
      </c>
      <c r="I2" s="2">
        <f>Table1[[#This Row],[Units_Sold]]*Table1[[#This Row],[Unit_Price]]</f>
        <v>50400</v>
      </c>
      <c r="J2" s="2">
        <f>_xlfn.XLOOKUP(Table1[[#This Row],[Region]],Discounts[Region],Discounts[Avg_Discount (%)])</f>
        <v>0.05</v>
      </c>
      <c r="K2" s="2">
        <f>Table1[[#This Row],[Units_Sold]]*Table1[[#This Row],[Unit_Cost]]</f>
        <v>39900</v>
      </c>
      <c r="L2" s="2">
        <f>Table1[[#This Row],[Gross Revenue ]]*(1-Table1[[#This Row],[Discounts ]]%)</f>
        <v>50374.8</v>
      </c>
      <c r="M2" s="2">
        <f>_xlfn.XLOOKUP(Table1[[#This Row],[Product_ID]],Return_Rates[Product_ID],Return_Rates[Return_Rate (%)])</f>
        <v>0.08</v>
      </c>
    </row>
    <row r="3" spans="1:13" x14ac:dyDescent="0.25">
      <c r="A3" s="2" t="s">
        <v>8</v>
      </c>
      <c r="B3" s="2" t="s">
        <v>9</v>
      </c>
      <c r="C3" s="2" t="s">
        <v>11</v>
      </c>
      <c r="D3" s="2">
        <v>310</v>
      </c>
      <c r="E3" s="2">
        <v>150</v>
      </c>
      <c r="F3" s="2">
        <v>110</v>
      </c>
      <c r="G3" s="2">
        <v>15000</v>
      </c>
      <c r="H3" s="2">
        <v>4100</v>
      </c>
      <c r="I3" s="2">
        <f>Table1[[#This Row],[Units_Sold]]*Table1[[#This Row],[Unit_Price]]</f>
        <v>46500</v>
      </c>
      <c r="J3" s="2">
        <f>_xlfn.XLOOKUP(Table1[[#This Row],[Region]],Discounts[Region],Discounts[Avg_Discount (%)])</f>
        <v>0.05</v>
      </c>
      <c r="K3" s="2">
        <f>Table1[[#This Row],[Units_Sold]]*Table1[[#This Row],[Unit_Cost]]</f>
        <v>34100</v>
      </c>
      <c r="L3" s="2">
        <f>Table1[[#This Row],[Gross Revenue ]]*(1-Table1[[#This Row],[Discounts ]]%)</f>
        <v>46476.75</v>
      </c>
      <c r="M3" s="2">
        <f>_xlfn.XLOOKUP(Table1[[#This Row],[Product_ID]],Return_Rates[Product_ID],Return_Rates[Return_Rate (%)])</f>
        <v>0.12</v>
      </c>
    </row>
    <row r="4" spans="1:13" x14ac:dyDescent="0.25">
      <c r="A4" s="2" t="s">
        <v>8</v>
      </c>
      <c r="B4" s="2" t="s">
        <v>12</v>
      </c>
      <c r="C4" s="2" t="s">
        <v>10</v>
      </c>
      <c r="D4" s="2">
        <v>380</v>
      </c>
      <c r="E4" s="2">
        <v>120</v>
      </c>
      <c r="F4" s="2">
        <v>95</v>
      </c>
      <c r="G4" s="2">
        <v>12000</v>
      </c>
      <c r="H4" s="2">
        <v>2800</v>
      </c>
      <c r="I4" s="2">
        <f>Table1[[#This Row],[Units_Sold]]*Table1[[#This Row],[Unit_Price]]</f>
        <v>45600</v>
      </c>
      <c r="J4" s="2">
        <f>_xlfn.XLOOKUP(Table1[[#This Row],[Region]],Discounts[Region],Discounts[Avg_Discount (%)])</f>
        <v>7.0000000000000007E-2</v>
      </c>
      <c r="K4" s="2">
        <f>Table1[[#This Row],[Units_Sold]]*Table1[[#This Row],[Unit_Cost]]</f>
        <v>36100</v>
      </c>
      <c r="L4" s="2">
        <f>Table1[[#This Row],[Gross Revenue ]]*(1-Table1[[#This Row],[Discounts ]]%)</f>
        <v>45568.08</v>
      </c>
      <c r="M4" s="2">
        <f>_xlfn.XLOOKUP(Table1[[#This Row],[Product_ID]],Return_Rates[Product_ID],Return_Rates[Return_Rate (%)])</f>
        <v>0.08</v>
      </c>
    </row>
    <row r="5" spans="1:13" x14ac:dyDescent="0.25">
      <c r="A5" s="2" t="s">
        <v>8</v>
      </c>
      <c r="B5" s="2" t="s">
        <v>12</v>
      </c>
      <c r="C5" s="2" t="s">
        <v>13</v>
      </c>
      <c r="D5" s="2">
        <v>290</v>
      </c>
      <c r="E5" s="2">
        <v>200</v>
      </c>
      <c r="F5" s="2">
        <v>160</v>
      </c>
      <c r="G5" s="2">
        <v>12000</v>
      </c>
      <c r="H5" s="2">
        <v>5100</v>
      </c>
      <c r="I5" s="2">
        <f>Table1[[#This Row],[Units_Sold]]*Table1[[#This Row],[Unit_Price]]</f>
        <v>58000</v>
      </c>
      <c r="J5" s="2">
        <f>_xlfn.XLOOKUP(Table1[[#This Row],[Region]],Discounts[Region],Discounts[Avg_Discount (%)])</f>
        <v>7.0000000000000007E-2</v>
      </c>
      <c r="K5" s="2">
        <f>Table1[[#This Row],[Units_Sold]]*Table1[[#This Row],[Unit_Cost]]</f>
        <v>46400</v>
      </c>
      <c r="L5" s="2">
        <f>Table1[[#This Row],[Gross Revenue ]]*(1-Table1[[#This Row],[Discounts ]]%)</f>
        <v>57959.4</v>
      </c>
      <c r="M5" s="2">
        <f>_xlfn.XLOOKUP(Table1[[#This Row],[Product_ID]],Return_Rates[Product_ID],Return_Rates[Return_Rate (%)])</f>
        <v>0.15</v>
      </c>
    </row>
    <row r="6" spans="1:13" x14ac:dyDescent="0.25">
      <c r="A6" s="2" t="s">
        <v>8</v>
      </c>
      <c r="B6" s="2" t="s">
        <v>14</v>
      </c>
      <c r="C6" s="2" t="s">
        <v>15</v>
      </c>
      <c r="D6" s="2">
        <v>510</v>
      </c>
      <c r="E6" s="2">
        <v>90</v>
      </c>
      <c r="F6" s="2">
        <v>75</v>
      </c>
      <c r="G6" s="2">
        <v>9000</v>
      </c>
      <c r="H6" s="2">
        <v>2400</v>
      </c>
      <c r="I6" s="2">
        <f>Table1[[#This Row],[Units_Sold]]*Table1[[#This Row],[Unit_Price]]</f>
        <v>45900</v>
      </c>
      <c r="J6" s="2">
        <f>_xlfn.XLOOKUP(Table1[[#This Row],[Region]],Discounts[Region],Discounts[Avg_Discount (%)])</f>
        <v>0.04</v>
      </c>
      <c r="K6" s="2">
        <f>Table1[[#This Row],[Units_Sold]]*Table1[[#This Row],[Unit_Cost]]</f>
        <v>38250</v>
      </c>
      <c r="L6" s="2">
        <f>Table1[[#This Row],[Gross Revenue ]]*(1-Table1[[#This Row],[Discounts ]]%)</f>
        <v>45881.64</v>
      </c>
      <c r="M6" s="2">
        <f>_xlfn.XLOOKUP(Table1[[#This Row],[Product_ID]],Return_Rates[Product_ID],Return_Rates[Return_Rate (%)])</f>
        <v>0.06</v>
      </c>
    </row>
    <row r="7" spans="1:13" x14ac:dyDescent="0.25">
      <c r="A7" s="2" t="s">
        <v>8</v>
      </c>
      <c r="B7" s="2" t="s">
        <v>16</v>
      </c>
      <c r="C7" s="2" t="s">
        <v>11</v>
      </c>
      <c r="D7" s="2">
        <v>260</v>
      </c>
      <c r="E7" s="2">
        <v>150</v>
      </c>
      <c r="F7" s="2">
        <v>110</v>
      </c>
      <c r="G7" s="2">
        <v>10000</v>
      </c>
      <c r="H7" s="2">
        <v>3900</v>
      </c>
      <c r="I7" s="2">
        <f>Table1[[#This Row],[Units_Sold]]*Table1[[#This Row],[Unit_Price]]</f>
        <v>39000</v>
      </c>
      <c r="J7" s="2">
        <f>_xlfn.XLOOKUP(Table1[[#This Row],[Region]],Discounts[Region],Discounts[Avg_Discount (%)])</f>
        <v>0.09</v>
      </c>
      <c r="K7" s="2">
        <f>Table1[[#This Row],[Units_Sold]]*Table1[[#This Row],[Unit_Cost]]</f>
        <v>28600</v>
      </c>
      <c r="L7" s="2">
        <f>Table1[[#This Row],[Gross Revenue ]]*(1-Table1[[#This Row],[Discounts ]]%)</f>
        <v>38964.9</v>
      </c>
      <c r="M7" s="2">
        <f>_xlfn.XLOOKUP(Table1[[#This Row],[Product_ID]],Return_Rates[Product_ID],Return_Rates[Return_Rate (%)])</f>
        <v>0.12</v>
      </c>
    </row>
    <row r="8" spans="1:13" x14ac:dyDescent="0.25">
      <c r="A8" s="2" t="s">
        <v>17</v>
      </c>
      <c r="B8" s="2" t="s">
        <v>9</v>
      </c>
      <c r="C8" s="2" t="s">
        <v>10</v>
      </c>
      <c r="D8" s="2">
        <v>390</v>
      </c>
      <c r="E8" s="2">
        <v>120</v>
      </c>
      <c r="F8" s="2">
        <v>98</v>
      </c>
      <c r="G8" s="2">
        <v>17000</v>
      </c>
      <c r="H8" s="2">
        <v>4500</v>
      </c>
      <c r="I8" s="2">
        <f>Table1[[#This Row],[Units_Sold]]*Table1[[#This Row],[Unit_Price]]</f>
        <v>46800</v>
      </c>
      <c r="J8" s="2">
        <f>_xlfn.XLOOKUP(Table1[[#This Row],[Region]],Discounts[Region],Discounts[Avg_Discount (%)])</f>
        <v>0.05</v>
      </c>
      <c r="K8" s="2">
        <f>Table1[[#This Row],[Units_Sold]]*Table1[[#This Row],[Unit_Cost]]</f>
        <v>38220</v>
      </c>
      <c r="L8" s="2">
        <f>Table1[[#This Row],[Gross Revenue ]]*(1-Table1[[#This Row],[Discounts ]]%)</f>
        <v>46776.600000000006</v>
      </c>
      <c r="M8" s="2">
        <f>_xlfn.XLOOKUP(Table1[[#This Row],[Product_ID]],Return_Rates[Product_ID],Return_Rates[Return_Rate (%)])</f>
        <v>0.08</v>
      </c>
    </row>
    <row r="9" spans="1:13" x14ac:dyDescent="0.25">
      <c r="A9" s="2" t="s">
        <v>17</v>
      </c>
      <c r="B9" s="2" t="s">
        <v>9</v>
      </c>
      <c r="C9" s="2" t="s">
        <v>11</v>
      </c>
      <c r="D9" s="2">
        <v>295</v>
      </c>
      <c r="E9" s="2">
        <v>150</v>
      </c>
      <c r="F9" s="2">
        <v>115</v>
      </c>
      <c r="G9" s="2">
        <v>17000</v>
      </c>
      <c r="H9" s="2">
        <v>5300</v>
      </c>
      <c r="I9" s="2">
        <f>Table1[[#This Row],[Units_Sold]]*Table1[[#This Row],[Unit_Price]]</f>
        <v>44250</v>
      </c>
      <c r="J9" s="2">
        <f>_xlfn.XLOOKUP(Table1[[#This Row],[Region]],Discounts[Region],Discounts[Avg_Discount (%)])</f>
        <v>0.05</v>
      </c>
      <c r="K9" s="2">
        <f>Table1[[#This Row],[Units_Sold]]*Table1[[#This Row],[Unit_Cost]]</f>
        <v>33925</v>
      </c>
      <c r="L9" s="2">
        <f>Table1[[#This Row],[Gross Revenue ]]*(1-Table1[[#This Row],[Discounts ]]%)</f>
        <v>44227.875</v>
      </c>
      <c r="M9" s="2">
        <f>_xlfn.XLOOKUP(Table1[[#This Row],[Product_ID]],Return_Rates[Product_ID],Return_Rates[Return_Rate (%)])</f>
        <v>0.12</v>
      </c>
    </row>
    <row r="10" spans="1:13" x14ac:dyDescent="0.25">
      <c r="A10" s="2" t="s">
        <v>17</v>
      </c>
      <c r="B10" s="2" t="s">
        <v>12</v>
      </c>
      <c r="C10" s="2" t="s">
        <v>13</v>
      </c>
      <c r="D10" s="2">
        <v>270</v>
      </c>
      <c r="E10" s="2">
        <v>200</v>
      </c>
      <c r="F10" s="2">
        <v>165</v>
      </c>
      <c r="G10" s="2">
        <v>14000</v>
      </c>
      <c r="H10" s="2">
        <v>6100</v>
      </c>
      <c r="I10" s="2">
        <f>Table1[[#This Row],[Units_Sold]]*Table1[[#This Row],[Unit_Price]]</f>
        <v>54000</v>
      </c>
      <c r="J10" s="2">
        <f>_xlfn.XLOOKUP(Table1[[#This Row],[Region]],Discounts[Region],Discounts[Avg_Discount (%)])</f>
        <v>7.0000000000000007E-2</v>
      </c>
      <c r="K10" s="2">
        <f>Table1[[#This Row],[Units_Sold]]*Table1[[#This Row],[Unit_Cost]]</f>
        <v>44550</v>
      </c>
      <c r="L10" s="2">
        <f>Table1[[#This Row],[Gross Revenue ]]*(1-Table1[[#This Row],[Discounts ]]%)</f>
        <v>53962.2</v>
      </c>
      <c r="M10" s="2">
        <f>_xlfn.XLOOKUP(Table1[[#This Row],[Product_ID]],Return_Rates[Product_ID],Return_Rates[Return_Rate (%)])</f>
        <v>0.15</v>
      </c>
    </row>
    <row r="11" spans="1:13" x14ac:dyDescent="0.25">
      <c r="A11" s="2" t="s">
        <v>17</v>
      </c>
      <c r="B11" s="2" t="s">
        <v>14</v>
      </c>
      <c r="C11" s="2" t="s">
        <v>15</v>
      </c>
      <c r="D11" s="2">
        <v>480</v>
      </c>
      <c r="E11" s="2">
        <v>90</v>
      </c>
      <c r="F11" s="2">
        <v>78</v>
      </c>
      <c r="G11" s="2">
        <v>10000</v>
      </c>
      <c r="H11" s="2">
        <v>2800</v>
      </c>
      <c r="I11" s="2">
        <f>Table1[[#This Row],[Units_Sold]]*Table1[[#This Row],[Unit_Price]]</f>
        <v>43200</v>
      </c>
      <c r="J11" s="2">
        <f>_xlfn.XLOOKUP(Table1[[#This Row],[Region]],Discounts[Region],Discounts[Avg_Discount (%)])</f>
        <v>0.04</v>
      </c>
      <c r="K11" s="2">
        <f>Table1[[#This Row],[Units_Sold]]*Table1[[#This Row],[Unit_Cost]]</f>
        <v>37440</v>
      </c>
      <c r="L11" s="2">
        <f>Table1[[#This Row],[Gross Revenue ]]*(1-Table1[[#This Row],[Discounts ]]%)</f>
        <v>43182.720000000001</v>
      </c>
      <c r="M11" s="2">
        <f>_xlfn.XLOOKUP(Table1[[#This Row],[Product_ID]],Return_Rates[Product_ID],Return_Rates[Return_Rate (%)])</f>
        <v>0.06</v>
      </c>
    </row>
    <row r="12" spans="1:13" x14ac:dyDescent="0.25">
      <c r="A12" s="2" t="s">
        <v>17</v>
      </c>
      <c r="B12" s="2" t="s">
        <v>16</v>
      </c>
      <c r="C12" s="2" t="s">
        <v>18</v>
      </c>
      <c r="D12" s="2">
        <v>350</v>
      </c>
      <c r="E12" s="2">
        <v>250</v>
      </c>
      <c r="F12" s="2">
        <v>210</v>
      </c>
      <c r="G12" s="2">
        <v>11000</v>
      </c>
      <c r="H12" s="2">
        <v>7200</v>
      </c>
      <c r="I12" s="2">
        <f>Table1[[#This Row],[Units_Sold]]*Table1[[#This Row],[Unit_Price]]</f>
        <v>87500</v>
      </c>
      <c r="J12" s="2">
        <f>_xlfn.XLOOKUP(Table1[[#This Row],[Region]],Discounts[Region],Discounts[Avg_Discount (%)])</f>
        <v>0.09</v>
      </c>
      <c r="K12" s="2">
        <f>Table1[[#This Row],[Units_Sold]]*Table1[[#This Row],[Unit_Cost]]</f>
        <v>73500</v>
      </c>
      <c r="L12" s="2">
        <f>Table1[[#This Row],[Gross Revenue ]]*(1-Table1[[#This Row],[Discounts ]]%)</f>
        <v>87421.25</v>
      </c>
      <c r="M12" s="2">
        <f>_xlfn.XLOOKUP(Table1[[#This Row],[Product_ID]],Return_Rates[Product_ID],Return_Rates[Return_Rate (%)])</f>
        <v>0.18</v>
      </c>
    </row>
    <row r="13" spans="1:13" x14ac:dyDescent="0.25">
      <c r="A13" s="2" t="s">
        <v>19</v>
      </c>
      <c r="B13" s="2" t="s">
        <v>9</v>
      </c>
      <c r="C13" s="2" t="s">
        <v>10</v>
      </c>
      <c r="D13" s="2">
        <v>360</v>
      </c>
      <c r="E13" s="2">
        <v>120</v>
      </c>
      <c r="F13" s="2">
        <v>100</v>
      </c>
      <c r="G13" s="2">
        <v>20000</v>
      </c>
      <c r="H13" s="2">
        <v>6200</v>
      </c>
      <c r="I13" s="2">
        <f>Table1[[#This Row],[Units_Sold]]*Table1[[#This Row],[Unit_Price]]</f>
        <v>43200</v>
      </c>
      <c r="J13" s="2">
        <f>_xlfn.XLOOKUP(Table1[[#This Row],[Region]],Discounts[Region],Discounts[Avg_Discount (%)])</f>
        <v>0.05</v>
      </c>
      <c r="K13" s="2">
        <f>Table1[[#This Row],[Units_Sold]]*Table1[[#This Row],[Unit_Cost]]</f>
        <v>36000</v>
      </c>
      <c r="L13" s="2">
        <f>Table1[[#This Row],[Gross Revenue ]]*(1-Table1[[#This Row],[Discounts ]]%)</f>
        <v>43178.400000000001</v>
      </c>
      <c r="M13" s="2">
        <f>_xlfn.XLOOKUP(Table1[[#This Row],[Product_ID]],Return_Rates[Product_ID],Return_Rates[Return_Rate (%)])</f>
        <v>0.08</v>
      </c>
    </row>
    <row r="14" spans="1:13" x14ac:dyDescent="0.25">
      <c r="A14" s="2" t="s">
        <v>19</v>
      </c>
      <c r="B14" s="2" t="s">
        <v>9</v>
      </c>
      <c r="C14" s="2" t="s">
        <v>11</v>
      </c>
      <c r="D14" s="2">
        <v>275</v>
      </c>
      <c r="E14" s="2">
        <v>150</v>
      </c>
      <c r="F14" s="2">
        <v>118</v>
      </c>
      <c r="G14" s="2">
        <v>20000</v>
      </c>
      <c r="H14" s="2">
        <v>7100</v>
      </c>
      <c r="I14" s="2">
        <f>Table1[[#This Row],[Units_Sold]]*Table1[[#This Row],[Unit_Price]]</f>
        <v>41250</v>
      </c>
      <c r="J14" s="2">
        <f>_xlfn.XLOOKUP(Table1[[#This Row],[Region]],Discounts[Region],Discounts[Avg_Discount (%)])</f>
        <v>0.05</v>
      </c>
      <c r="K14" s="2">
        <f>Table1[[#This Row],[Units_Sold]]*Table1[[#This Row],[Unit_Cost]]</f>
        <v>32450</v>
      </c>
      <c r="L14" s="2">
        <f>Table1[[#This Row],[Gross Revenue ]]*(1-Table1[[#This Row],[Discounts ]]%)</f>
        <v>41229.375</v>
      </c>
      <c r="M14" s="2">
        <f>_xlfn.XLOOKUP(Table1[[#This Row],[Product_ID]],Return_Rates[Product_ID],Return_Rates[Return_Rate (%)])</f>
        <v>0.12</v>
      </c>
    </row>
    <row r="15" spans="1:13" x14ac:dyDescent="0.25">
      <c r="A15" s="2" t="s">
        <v>19</v>
      </c>
      <c r="B15" s="2" t="s">
        <v>12</v>
      </c>
      <c r="C15" s="2" t="s">
        <v>13</v>
      </c>
      <c r="D15" s="2">
        <v>250</v>
      </c>
      <c r="E15" s="2">
        <v>200</v>
      </c>
      <c r="F15" s="2">
        <v>170</v>
      </c>
      <c r="G15" s="2">
        <v>15000</v>
      </c>
      <c r="H15" s="2">
        <v>8300</v>
      </c>
      <c r="I15" s="2">
        <f>Table1[[#This Row],[Units_Sold]]*Table1[[#This Row],[Unit_Price]]</f>
        <v>50000</v>
      </c>
      <c r="J15" s="2">
        <f>_xlfn.XLOOKUP(Table1[[#This Row],[Region]],Discounts[Region],Discounts[Avg_Discount (%)])</f>
        <v>7.0000000000000007E-2</v>
      </c>
      <c r="K15" s="2">
        <f>Table1[[#This Row],[Units_Sold]]*Table1[[#This Row],[Unit_Cost]]</f>
        <v>42500</v>
      </c>
      <c r="L15" s="2">
        <f>Table1[[#This Row],[Gross Revenue ]]*(1-Table1[[#This Row],[Discounts ]]%)</f>
        <v>49965</v>
      </c>
      <c r="M15" s="2">
        <f>_xlfn.XLOOKUP(Table1[[#This Row],[Product_ID]],Return_Rates[Product_ID],Return_Rates[Return_Rate (%)])</f>
        <v>0.15</v>
      </c>
    </row>
    <row r="16" spans="1:13" x14ac:dyDescent="0.25">
      <c r="A16" s="2" t="s">
        <v>19</v>
      </c>
      <c r="B16" s="2" t="s">
        <v>14</v>
      </c>
      <c r="C16" s="2" t="s">
        <v>15</v>
      </c>
      <c r="D16" s="2">
        <v>455</v>
      </c>
      <c r="E16" s="2">
        <v>90</v>
      </c>
      <c r="F16" s="2">
        <v>80</v>
      </c>
      <c r="G16" s="2">
        <v>11000</v>
      </c>
      <c r="H16" s="2">
        <v>3500</v>
      </c>
      <c r="I16" s="2">
        <f>Table1[[#This Row],[Units_Sold]]*Table1[[#This Row],[Unit_Price]]</f>
        <v>40950</v>
      </c>
      <c r="J16" s="2">
        <f>_xlfn.XLOOKUP(Table1[[#This Row],[Region]],Discounts[Region],Discounts[Avg_Discount (%)])</f>
        <v>0.04</v>
      </c>
      <c r="K16" s="2">
        <f>Table1[[#This Row],[Units_Sold]]*Table1[[#This Row],[Unit_Cost]]</f>
        <v>36400</v>
      </c>
      <c r="L16" s="2">
        <f>Table1[[#This Row],[Gross Revenue ]]*(1-Table1[[#This Row],[Discounts ]]%)</f>
        <v>40933.620000000003</v>
      </c>
      <c r="M16" s="2">
        <f>_xlfn.XLOOKUP(Table1[[#This Row],[Product_ID]],Return_Rates[Product_ID],Return_Rates[Return_Rate (%)])</f>
        <v>0.06</v>
      </c>
    </row>
    <row r="17" spans="1:13" x14ac:dyDescent="0.25">
      <c r="A17" s="2" t="s">
        <v>19</v>
      </c>
      <c r="B17" s="2" t="s">
        <v>16</v>
      </c>
      <c r="C17" s="2" t="s">
        <v>18</v>
      </c>
      <c r="D17" s="2">
        <v>320</v>
      </c>
      <c r="E17" s="2">
        <v>250</v>
      </c>
      <c r="F17" s="2">
        <v>215</v>
      </c>
      <c r="G17" s="2">
        <v>12000</v>
      </c>
      <c r="H17" s="2">
        <v>9100</v>
      </c>
      <c r="I17" s="2">
        <f>Table1[[#This Row],[Units_Sold]]*Table1[[#This Row],[Unit_Price]]</f>
        <v>80000</v>
      </c>
      <c r="J17" s="2">
        <f>_xlfn.XLOOKUP(Table1[[#This Row],[Region]],Discounts[Region],Discounts[Avg_Discount (%)])</f>
        <v>0.09</v>
      </c>
      <c r="K17" s="2">
        <f>Table1[[#This Row],[Units_Sold]]*Table1[[#This Row],[Unit_Cost]]</f>
        <v>68800</v>
      </c>
      <c r="L17" s="2">
        <f>Table1[[#This Row],[Gross Revenue ]]*(1-Table1[[#This Row],[Discounts ]]%)</f>
        <v>79928</v>
      </c>
      <c r="M17" s="2">
        <f>_xlfn.XLOOKUP(Table1[[#This Row],[Product_ID]],Return_Rates[Product_ID],Return_Rates[Return_Rate (%)])</f>
        <v>0.18</v>
      </c>
    </row>
    <row r="18" spans="1:13" x14ac:dyDescent="0.25">
      <c r="A18" s="2" t="s">
        <v>20</v>
      </c>
      <c r="B18" s="2" t="s">
        <v>9</v>
      </c>
      <c r="C18" s="2" t="s">
        <v>10</v>
      </c>
      <c r="D18" s="2">
        <v>340</v>
      </c>
      <c r="E18" s="2">
        <v>120</v>
      </c>
      <c r="F18" s="2">
        <v>102</v>
      </c>
      <c r="G18" s="2">
        <v>22000</v>
      </c>
      <c r="H18" s="2">
        <v>7800</v>
      </c>
      <c r="I18" s="2">
        <f>Table1[[#This Row],[Units_Sold]]*Table1[[#This Row],[Unit_Price]]</f>
        <v>40800</v>
      </c>
      <c r="J18" s="2">
        <f>_xlfn.XLOOKUP(Table1[[#This Row],[Region]],Discounts[Region],Discounts[Avg_Discount (%)])</f>
        <v>0.05</v>
      </c>
      <c r="K18" s="2">
        <f>Table1[[#This Row],[Units_Sold]]*Table1[[#This Row],[Unit_Cost]]</f>
        <v>34680</v>
      </c>
      <c r="L18" s="2">
        <f>Table1[[#This Row],[Gross Revenue ]]*(1-Table1[[#This Row],[Discounts ]]%)</f>
        <v>40779.600000000006</v>
      </c>
      <c r="M18" s="2">
        <f>_xlfn.XLOOKUP(Table1[[#This Row],[Product_ID]],Return_Rates[Product_ID],Return_Rates[Return_Rate (%)])</f>
        <v>0.08</v>
      </c>
    </row>
    <row r="19" spans="1:13" x14ac:dyDescent="0.25">
      <c r="A19" s="2" t="s">
        <v>20</v>
      </c>
      <c r="B19" s="2" t="s">
        <v>9</v>
      </c>
      <c r="C19" s="2" t="s">
        <v>11</v>
      </c>
      <c r="D19" s="2">
        <v>260</v>
      </c>
      <c r="E19" s="2">
        <v>150</v>
      </c>
      <c r="F19" s="2">
        <v>120</v>
      </c>
      <c r="G19" s="2">
        <v>22000</v>
      </c>
      <c r="H19" s="2">
        <v>9200</v>
      </c>
      <c r="I19" s="2">
        <f>Table1[[#This Row],[Units_Sold]]*Table1[[#This Row],[Unit_Price]]</f>
        <v>39000</v>
      </c>
      <c r="J19" s="2">
        <f>_xlfn.XLOOKUP(Table1[[#This Row],[Region]],Discounts[Region],Discounts[Avg_Discount (%)])</f>
        <v>0.05</v>
      </c>
      <c r="K19" s="2">
        <f>Table1[[#This Row],[Units_Sold]]*Table1[[#This Row],[Unit_Cost]]</f>
        <v>31200</v>
      </c>
      <c r="L19" s="2">
        <f>Table1[[#This Row],[Gross Revenue ]]*(1-Table1[[#This Row],[Discounts ]]%)</f>
        <v>38980.5</v>
      </c>
      <c r="M19" s="2">
        <f>_xlfn.XLOOKUP(Table1[[#This Row],[Product_ID]],Return_Rates[Product_ID],Return_Rates[Return_Rate (%)])</f>
        <v>0.12</v>
      </c>
    </row>
    <row r="20" spans="1:13" x14ac:dyDescent="0.25">
      <c r="A20" s="2" t="s">
        <v>20</v>
      </c>
      <c r="B20" s="2" t="s">
        <v>12</v>
      </c>
      <c r="C20" s="2" t="s">
        <v>13</v>
      </c>
      <c r="D20" s="2">
        <v>230</v>
      </c>
      <c r="E20" s="2">
        <v>200</v>
      </c>
      <c r="F20" s="2">
        <v>175</v>
      </c>
      <c r="G20" s="2">
        <v>17000</v>
      </c>
      <c r="H20" s="2">
        <v>10300</v>
      </c>
      <c r="I20" s="2">
        <f>Table1[[#This Row],[Units_Sold]]*Table1[[#This Row],[Unit_Price]]</f>
        <v>46000</v>
      </c>
      <c r="J20" s="2">
        <f>_xlfn.XLOOKUP(Table1[[#This Row],[Region]],Discounts[Region],Discounts[Avg_Discount (%)])</f>
        <v>7.0000000000000007E-2</v>
      </c>
      <c r="K20" s="2">
        <f>Table1[[#This Row],[Units_Sold]]*Table1[[#This Row],[Unit_Cost]]</f>
        <v>40250</v>
      </c>
      <c r="L20" s="2">
        <f>Table1[[#This Row],[Gross Revenue ]]*(1-Table1[[#This Row],[Discounts ]]%)</f>
        <v>45967.799999999996</v>
      </c>
      <c r="M20" s="2">
        <f>_xlfn.XLOOKUP(Table1[[#This Row],[Product_ID]],Return_Rates[Product_ID],Return_Rates[Return_Rate (%)])</f>
        <v>0.15</v>
      </c>
    </row>
    <row r="21" spans="1:13" x14ac:dyDescent="0.25">
      <c r="A21" s="2" t="s">
        <v>20</v>
      </c>
      <c r="B21" s="2" t="s">
        <v>14</v>
      </c>
      <c r="C21" s="2" t="s">
        <v>15</v>
      </c>
      <c r="D21" s="2">
        <v>430</v>
      </c>
      <c r="E21" s="2">
        <v>90</v>
      </c>
      <c r="F21" s="2">
        <v>82</v>
      </c>
      <c r="G21" s="2">
        <v>12000</v>
      </c>
      <c r="H21" s="2">
        <v>4100</v>
      </c>
      <c r="I21" s="2">
        <f>Table1[[#This Row],[Units_Sold]]*Table1[[#This Row],[Unit_Price]]</f>
        <v>38700</v>
      </c>
      <c r="J21" s="2">
        <f>_xlfn.XLOOKUP(Table1[[#This Row],[Region]],Discounts[Region],Discounts[Avg_Discount (%)])</f>
        <v>0.04</v>
      </c>
      <c r="K21" s="2">
        <f>Table1[[#This Row],[Units_Sold]]*Table1[[#This Row],[Unit_Cost]]</f>
        <v>35260</v>
      </c>
      <c r="L21" s="2">
        <f>Table1[[#This Row],[Gross Revenue ]]*(1-Table1[[#This Row],[Discounts ]]%)</f>
        <v>38684.520000000004</v>
      </c>
      <c r="M21" s="2">
        <f>_xlfn.XLOOKUP(Table1[[#This Row],[Product_ID]],Return_Rates[Product_ID],Return_Rates[Return_Rate (%)])</f>
        <v>0.06</v>
      </c>
    </row>
    <row r="22" spans="1:13" x14ac:dyDescent="0.25">
      <c r="A22" s="2" t="s">
        <v>20</v>
      </c>
      <c r="B22" s="2" t="s">
        <v>16</v>
      </c>
      <c r="C22" s="2" t="s">
        <v>18</v>
      </c>
      <c r="D22" s="2">
        <v>295</v>
      </c>
      <c r="E22" s="2">
        <v>250</v>
      </c>
      <c r="F22" s="2">
        <v>220</v>
      </c>
      <c r="G22" s="2">
        <v>13000</v>
      </c>
      <c r="H22" s="2">
        <v>11000</v>
      </c>
      <c r="I22" s="2">
        <f>Table1[[#This Row],[Units_Sold]]*Table1[[#This Row],[Unit_Price]]</f>
        <v>73750</v>
      </c>
      <c r="J22" s="2">
        <f>_xlfn.XLOOKUP(Table1[[#This Row],[Region]],Discounts[Region],Discounts[Avg_Discount (%)])</f>
        <v>0.09</v>
      </c>
      <c r="K22" s="2">
        <f>Table1[[#This Row],[Units_Sold]]*Table1[[#This Row],[Unit_Cost]]</f>
        <v>64900</v>
      </c>
      <c r="L22" s="2">
        <f>Table1[[#This Row],[Gross Revenue ]]*(1-Table1[[#This Row],[Discounts ]]%)</f>
        <v>73683.625</v>
      </c>
      <c r="M22" s="2">
        <f>_xlfn.XLOOKUP(Table1[[#This Row],[Product_ID]],Return_Rates[Product_ID],Return_Rates[Return_Rate (%)])</f>
        <v>0.18</v>
      </c>
    </row>
    <row r="23" spans="1:13" x14ac:dyDescent="0.25">
      <c r="A23" s="2" t="s">
        <v>21</v>
      </c>
      <c r="B23" s="2" t="s">
        <v>9</v>
      </c>
      <c r="C23" s="2" t="s">
        <v>10</v>
      </c>
      <c r="D23" s="2">
        <v>320</v>
      </c>
      <c r="E23" s="2">
        <v>115</v>
      </c>
      <c r="F23" s="2">
        <v>105</v>
      </c>
      <c r="G23" s="2">
        <v>25000</v>
      </c>
      <c r="H23" s="2">
        <v>9100</v>
      </c>
      <c r="I23" s="2">
        <f>Table1[[#This Row],[Units_Sold]]*Table1[[#This Row],[Unit_Price]]</f>
        <v>36800</v>
      </c>
      <c r="J23" s="2">
        <f>_xlfn.XLOOKUP(Table1[[#This Row],[Region]],Discounts[Region],Discounts[Avg_Discount (%)])</f>
        <v>0.05</v>
      </c>
      <c r="K23" s="2">
        <f>Table1[[#This Row],[Units_Sold]]*Table1[[#This Row],[Unit_Cost]]</f>
        <v>33600</v>
      </c>
      <c r="L23" s="2">
        <f>Table1[[#This Row],[Gross Revenue ]]*(1-Table1[[#This Row],[Discounts ]]%)</f>
        <v>36781.599999999999</v>
      </c>
      <c r="M23" s="2">
        <f>_xlfn.XLOOKUP(Table1[[#This Row],[Product_ID]],Return_Rates[Product_ID],Return_Rates[Return_Rate (%)])</f>
        <v>0.08</v>
      </c>
    </row>
    <row r="24" spans="1:13" x14ac:dyDescent="0.25">
      <c r="A24" s="2" t="s">
        <v>21</v>
      </c>
      <c r="B24" s="2" t="s">
        <v>9</v>
      </c>
      <c r="C24" s="2" t="s">
        <v>11</v>
      </c>
      <c r="D24" s="2">
        <v>240</v>
      </c>
      <c r="E24" s="2">
        <v>145</v>
      </c>
      <c r="F24" s="2">
        <v>125</v>
      </c>
      <c r="G24" s="2">
        <v>25000</v>
      </c>
      <c r="H24" s="2">
        <v>10800</v>
      </c>
      <c r="I24" s="2">
        <f>Table1[[#This Row],[Units_Sold]]*Table1[[#This Row],[Unit_Price]]</f>
        <v>34800</v>
      </c>
      <c r="J24" s="2">
        <f>_xlfn.XLOOKUP(Table1[[#This Row],[Region]],Discounts[Region],Discounts[Avg_Discount (%)])</f>
        <v>0.05</v>
      </c>
      <c r="K24" s="2">
        <f>Table1[[#This Row],[Units_Sold]]*Table1[[#This Row],[Unit_Cost]]</f>
        <v>30000</v>
      </c>
      <c r="L24" s="2">
        <f>Table1[[#This Row],[Gross Revenue ]]*(1-Table1[[#This Row],[Discounts ]]%)</f>
        <v>34782.6</v>
      </c>
      <c r="M24" s="2">
        <f>_xlfn.XLOOKUP(Table1[[#This Row],[Product_ID]],Return_Rates[Product_ID],Return_Rates[Return_Rate (%)])</f>
        <v>0.12</v>
      </c>
    </row>
    <row r="25" spans="1:13" x14ac:dyDescent="0.25">
      <c r="A25" s="2" t="s">
        <v>21</v>
      </c>
      <c r="B25" s="2" t="s">
        <v>12</v>
      </c>
      <c r="C25" s="2" t="s">
        <v>13</v>
      </c>
      <c r="D25" s="2">
        <v>210</v>
      </c>
      <c r="E25" s="2">
        <v>195</v>
      </c>
      <c r="F25" s="2">
        <v>180</v>
      </c>
      <c r="G25" s="2">
        <v>19000</v>
      </c>
      <c r="H25" s="2">
        <v>12200</v>
      </c>
      <c r="I25" s="2">
        <f>Table1[[#This Row],[Units_Sold]]*Table1[[#This Row],[Unit_Price]]</f>
        <v>40950</v>
      </c>
      <c r="J25" s="2">
        <f>_xlfn.XLOOKUP(Table1[[#This Row],[Region]],Discounts[Region],Discounts[Avg_Discount (%)])</f>
        <v>7.0000000000000007E-2</v>
      </c>
      <c r="K25" s="2">
        <f>Table1[[#This Row],[Units_Sold]]*Table1[[#This Row],[Unit_Cost]]</f>
        <v>37800</v>
      </c>
      <c r="L25" s="2">
        <f>Table1[[#This Row],[Gross Revenue ]]*(1-Table1[[#This Row],[Discounts ]]%)</f>
        <v>40921.334999999999</v>
      </c>
      <c r="M25" s="2">
        <f>_xlfn.XLOOKUP(Table1[[#This Row],[Product_ID]],Return_Rates[Product_ID],Return_Rates[Return_Rate (%)])</f>
        <v>0.15</v>
      </c>
    </row>
    <row r="26" spans="1:13" x14ac:dyDescent="0.25">
      <c r="A26" s="2" t="s">
        <v>21</v>
      </c>
      <c r="B26" s="2" t="s">
        <v>14</v>
      </c>
      <c r="C26" s="2" t="s">
        <v>15</v>
      </c>
      <c r="D26" s="2">
        <v>400</v>
      </c>
      <c r="E26" s="2">
        <v>88</v>
      </c>
      <c r="F26" s="2">
        <v>85</v>
      </c>
      <c r="G26" s="2">
        <v>13000</v>
      </c>
      <c r="H26" s="2">
        <v>5200</v>
      </c>
      <c r="I26" s="2">
        <f>Table1[[#This Row],[Units_Sold]]*Table1[[#This Row],[Unit_Price]]</f>
        <v>35200</v>
      </c>
      <c r="J26" s="2">
        <f>_xlfn.XLOOKUP(Table1[[#This Row],[Region]],Discounts[Region],Discounts[Avg_Discount (%)])</f>
        <v>0.04</v>
      </c>
      <c r="K26" s="2">
        <f>Table1[[#This Row],[Units_Sold]]*Table1[[#This Row],[Unit_Cost]]</f>
        <v>34000</v>
      </c>
      <c r="L26" s="2">
        <f>Table1[[#This Row],[Gross Revenue ]]*(1-Table1[[#This Row],[Discounts ]]%)</f>
        <v>35185.919999999998</v>
      </c>
      <c r="M26" s="2">
        <f>_xlfn.XLOOKUP(Table1[[#This Row],[Product_ID]],Return_Rates[Product_ID],Return_Rates[Return_Rate (%)])</f>
        <v>0.06</v>
      </c>
    </row>
    <row r="27" spans="1:13" x14ac:dyDescent="0.25">
      <c r="A27" s="2" t="s">
        <v>21</v>
      </c>
      <c r="B27" s="2" t="s">
        <v>16</v>
      </c>
      <c r="C27" s="2" t="s">
        <v>18</v>
      </c>
      <c r="D27" s="2">
        <v>270</v>
      </c>
      <c r="E27" s="2">
        <v>245</v>
      </c>
      <c r="F27" s="2">
        <v>225</v>
      </c>
      <c r="G27" s="2">
        <v>14000</v>
      </c>
      <c r="H27" s="2">
        <v>13200</v>
      </c>
      <c r="I27" s="2">
        <f>Table1[[#This Row],[Units_Sold]]*Table1[[#This Row],[Unit_Price]]</f>
        <v>66150</v>
      </c>
      <c r="J27" s="2">
        <f>_xlfn.XLOOKUP(Table1[[#This Row],[Region]],Discounts[Region],Discounts[Avg_Discount (%)])</f>
        <v>0.09</v>
      </c>
      <c r="K27" s="2">
        <f>Table1[[#This Row],[Units_Sold]]*Table1[[#This Row],[Unit_Cost]]</f>
        <v>60750</v>
      </c>
      <c r="L27" s="2">
        <f>Table1[[#This Row],[Gross Revenue ]]*(1-Table1[[#This Row],[Discounts ]]%)</f>
        <v>66090.464999999997</v>
      </c>
      <c r="M27" s="2">
        <f>_xlfn.XLOOKUP(Table1[[#This Row],[Product_ID]],Return_Rates[Product_ID],Return_Rates[Return_Rate (%)])</f>
        <v>0.18</v>
      </c>
    </row>
    <row r="28" spans="1:13" x14ac:dyDescent="0.25">
      <c r="A28" s="2" t="s">
        <v>22</v>
      </c>
      <c r="B28" s="2" t="s">
        <v>9</v>
      </c>
      <c r="C28" s="2" t="s">
        <v>10</v>
      </c>
      <c r="D28" s="2">
        <v>300</v>
      </c>
      <c r="E28" s="2">
        <v>110</v>
      </c>
      <c r="F28" s="2">
        <v>108</v>
      </c>
      <c r="G28" s="2">
        <v>28000</v>
      </c>
      <c r="H28" s="2">
        <v>12000</v>
      </c>
      <c r="I28" s="2">
        <f>Table1[[#This Row],[Units_Sold]]*Table1[[#This Row],[Unit_Price]]</f>
        <v>33000</v>
      </c>
      <c r="J28" s="2">
        <f>_xlfn.XLOOKUP(Table1[[#This Row],[Region]],Discounts[Region],Discounts[Avg_Discount (%)])</f>
        <v>0.05</v>
      </c>
      <c r="K28" s="2">
        <f>Table1[[#This Row],[Units_Sold]]*Table1[[#This Row],[Unit_Cost]]</f>
        <v>32400</v>
      </c>
      <c r="L28" s="2">
        <f>Table1[[#This Row],[Gross Revenue ]]*(1-Table1[[#This Row],[Discounts ]]%)</f>
        <v>32983.5</v>
      </c>
      <c r="M28" s="2">
        <f>_xlfn.XLOOKUP(Table1[[#This Row],[Product_ID]],Return_Rates[Product_ID],Return_Rates[Return_Rate (%)])</f>
        <v>0.08</v>
      </c>
    </row>
    <row r="29" spans="1:13" x14ac:dyDescent="0.25">
      <c r="A29" s="2" t="s">
        <v>22</v>
      </c>
      <c r="B29" s="2" t="s">
        <v>9</v>
      </c>
      <c r="C29" s="2" t="s">
        <v>11</v>
      </c>
      <c r="D29" s="2">
        <v>220</v>
      </c>
      <c r="E29" s="2">
        <v>140</v>
      </c>
      <c r="F29" s="2">
        <v>130</v>
      </c>
      <c r="G29" s="2">
        <v>28000</v>
      </c>
      <c r="H29" s="2">
        <v>14500</v>
      </c>
      <c r="I29" s="2">
        <f>Table1[[#This Row],[Units_Sold]]*Table1[[#This Row],[Unit_Price]]</f>
        <v>30800</v>
      </c>
      <c r="J29" s="2">
        <f>_xlfn.XLOOKUP(Table1[[#This Row],[Region]],Discounts[Region],Discounts[Avg_Discount (%)])</f>
        <v>0.05</v>
      </c>
      <c r="K29" s="2">
        <f>Table1[[#This Row],[Units_Sold]]*Table1[[#This Row],[Unit_Cost]]</f>
        <v>28600</v>
      </c>
      <c r="L29" s="2">
        <f>Table1[[#This Row],[Gross Revenue ]]*(1-Table1[[#This Row],[Discounts ]]%)</f>
        <v>30784.600000000002</v>
      </c>
      <c r="M29" s="2">
        <f>_xlfn.XLOOKUP(Table1[[#This Row],[Product_ID]],Return_Rates[Product_ID],Return_Rates[Return_Rate (%)])</f>
        <v>0.12</v>
      </c>
    </row>
    <row r="30" spans="1:13" x14ac:dyDescent="0.25">
      <c r="A30" s="2" t="s">
        <v>22</v>
      </c>
      <c r="B30" s="2" t="s">
        <v>12</v>
      </c>
      <c r="C30" s="2" t="s">
        <v>13</v>
      </c>
      <c r="D30" s="2">
        <v>190</v>
      </c>
      <c r="E30" s="2">
        <v>190</v>
      </c>
      <c r="F30" s="2">
        <v>185</v>
      </c>
      <c r="G30" s="2">
        <v>21000</v>
      </c>
      <c r="H30" s="2">
        <v>15800</v>
      </c>
      <c r="I30" s="2">
        <f>Table1[[#This Row],[Units_Sold]]*Table1[[#This Row],[Unit_Price]]</f>
        <v>36100</v>
      </c>
      <c r="J30" s="2">
        <f>_xlfn.XLOOKUP(Table1[[#This Row],[Region]],Discounts[Region],Discounts[Avg_Discount (%)])</f>
        <v>7.0000000000000007E-2</v>
      </c>
      <c r="K30" s="2">
        <f>Table1[[#This Row],[Units_Sold]]*Table1[[#This Row],[Unit_Cost]]</f>
        <v>35150</v>
      </c>
      <c r="L30" s="2">
        <f>Table1[[#This Row],[Gross Revenue ]]*(1-Table1[[#This Row],[Discounts ]]%)</f>
        <v>36074.729999999996</v>
      </c>
      <c r="M30" s="2">
        <f>_xlfn.XLOOKUP(Table1[[#This Row],[Product_ID]],Return_Rates[Product_ID],Return_Rates[Return_Rate (%)])</f>
        <v>0.15</v>
      </c>
    </row>
    <row r="31" spans="1:13" x14ac:dyDescent="0.25">
      <c r="A31" s="2" t="s">
        <v>22</v>
      </c>
      <c r="B31" s="2" t="s">
        <v>14</v>
      </c>
      <c r="C31" s="2" t="s">
        <v>15</v>
      </c>
      <c r="D31" s="2">
        <v>380</v>
      </c>
      <c r="E31" s="2">
        <v>85</v>
      </c>
      <c r="F31" s="2">
        <v>88</v>
      </c>
      <c r="G31" s="2">
        <v>15000</v>
      </c>
      <c r="H31" s="2">
        <v>6400</v>
      </c>
      <c r="I31" s="2">
        <f>Table1[[#This Row],[Units_Sold]]*Table1[[#This Row],[Unit_Price]]</f>
        <v>32300</v>
      </c>
      <c r="J31" s="2">
        <f>_xlfn.XLOOKUP(Table1[[#This Row],[Region]],Discounts[Region],Discounts[Avg_Discount (%)])</f>
        <v>0.04</v>
      </c>
      <c r="K31" s="2">
        <f>Table1[[#This Row],[Units_Sold]]*Table1[[#This Row],[Unit_Cost]]</f>
        <v>33440</v>
      </c>
      <c r="L31" s="2">
        <f>Table1[[#This Row],[Gross Revenue ]]*(1-Table1[[#This Row],[Discounts ]]%)</f>
        <v>32287.08</v>
      </c>
      <c r="M31" s="2">
        <f>_xlfn.XLOOKUP(Table1[[#This Row],[Product_ID]],Return_Rates[Product_ID],Return_Rates[Return_Rate (%)])</f>
        <v>0.06</v>
      </c>
    </row>
    <row r="32" spans="1:13" x14ac:dyDescent="0.25">
      <c r="A32" s="2" t="s">
        <v>22</v>
      </c>
      <c r="B32" s="2" t="s">
        <v>16</v>
      </c>
      <c r="C32" s="2" t="s">
        <v>18</v>
      </c>
      <c r="D32" s="2">
        <v>240</v>
      </c>
      <c r="E32" s="2">
        <v>240</v>
      </c>
      <c r="F32" s="2">
        <v>230</v>
      </c>
      <c r="G32" s="2">
        <v>16000</v>
      </c>
      <c r="H32" s="2">
        <v>16800</v>
      </c>
      <c r="I32" s="2">
        <f>Table1[[#This Row],[Units_Sold]]*Table1[[#This Row],[Unit_Price]]</f>
        <v>57600</v>
      </c>
      <c r="J32" s="2">
        <f>_xlfn.XLOOKUP(Table1[[#This Row],[Region]],Discounts[Region],Discounts[Avg_Discount (%)])</f>
        <v>0.09</v>
      </c>
      <c r="K32" s="2">
        <f>Table1[[#This Row],[Units_Sold]]*Table1[[#This Row],[Unit_Cost]]</f>
        <v>55200</v>
      </c>
      <c r="L32" s="2">
        <f>Table1[[#This Row],[Gross Revenue ]]*(1-Table1[[#This Row],[Discounts ]]%)</f>
        <v>57548.159999999996</v>
      </c>
      <c r="M32" s="2">
        <f>_xlfn.XLOOKUP(Table1[[#This Row],[Product_ID]],Return_Rates[Product_ID],Return_Rates[Return_Rate (%)])</f>
        <v>0.18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3AB0-387C-4C14-96B0-2DF4B8C43C12}">
  <dimension ref="A1:G7"/>
  <sheetViews>
    <sheetView workbookViewId="0">
      <selection sqref="A1:G7"/>
    </sheetView>
  </sheetViews>
  <sheetFormatPr defaultRowHeight="15" x14ac:dyDescent="0.25"/>
  <cols>
    <col min="3" max="4" width="10.28515625" customWidth="1"/>
    <col min="5" max="5" width="24.42578125" customWidth="1"/>
    <col min="6" max="6" width="11.140625" customWidth="1"/>
    <col min="7" max="7" width="12" customWidth="1"/>
  </cols>
  <sheetData>
    <row r="1" spans="1:7" ht="45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s="2" t="s">
        <v>8</v>
      </c>
      <c r="B2" s="2">
        <v>45000</v>
      </c>
      <c r="C2" s="2">
        <v>120000</v>
      </c>
      <c r="D2" s="2">
        <v>12000</v>
      </c>
      <c r="E2" s="2">
        <v>8000</v>
      </c>
      <c r="F2" s="2">
        <v>30000</v>
      </c>
      <c r="G2" s="2">
        <v>6000</v>
      </c>
    </row>
    <row r="3" spans="1:7" x14ac:dyDescent="0.25">
      <c r="A3" s="2" t="s">
        <v>17</v>
      </c>
      <c r="B3" s="2">
        <v>45000</v>
      </c>
      <c r="C3" s="2">
        <v>125000</v>
      </c>
      <c r="D3" s="2">
        <v>13000</v>
      </c>
      <c r="E3" s="2">
        <v>8000</v>
      </c>
      <c r="F3" s="2">
        <v>32000</v>
      </c>
      <c r="G3" s="2">
        <v>6000</v>
      </c>
    </row>
    <row r="4" spans="1:7" x14ac:dyDescent="0.25">
      <c r="A4" s="2" t="s">
        <v>19</v>
      </c>
      <c r="B4" s="2">
        <v>45000</v>
      </c>
      <c r="C4" s="2">
        <v>130000</v>
      </c>
      <c r="D4" s="2">
        <v>13500</v>
      </c>
      <c r="E4" s="2">
        <v>9000</v>
      </c>
      <c r="F4" s="2">
        <v>35000</v>
      </c>
      <c r="G4" s="2">
        <v>6500</v>
      </c>
    </row>
    <row r="5" spans="1:7" x14ac:dyDescent="0.25">
      <c r="A5" s="2" t="s">
        <v>20</v>
      </c>
      <c r="B5" s="2">
        <v>45000</v>
      </c>
      <c r="C5" s="2">
        <v>135000</v>
      </c>
      <c r="D5" s="2">
        <v>14000</v>
      </c>
      <c r="E5" s="2">
        <v>9000</v>
      </c>
      <c r="F5" s="2">
        <v>38000</v>
      </c>
      <c r="G5" s="2">
        <v>6500</v>
      </c>
    </row>
    <row r="6" spans="1:7" x14ac:dyDescent="0.25">
      <c r="A6" s="2" t="s">
        <v>21</v>
      </c>
      <c r="B6" s="2">
        <v>45000</v>
      </c>
      <c r="C6" s="2">
        <v>140000</v>
      </c>
      <c r="D6" s="2">
        <v>15000</v>
      </c>
      <c r="E6" s="2">
        <v>10000</v>
      </c>
      <c r="F6" s="2">
        <v>40000</v>
      </c>
      <c r="G6" s="2">
        <v>7000</v>
      </c>
    </row>
    <row r="7" spans="1:7" x14ac:dyDescent="0.25">
      <c r="A7" s="2" t="s">
        <v>22</v>
      </c>
      <c r="B7" s="2">
        <v>45000</v>
      </c>
      <c r="C7" s="2">
        <v>145000</v>
      </c>
      <c r="D7" s="2">
        <v>16000</v>
      </c>
      <c r="E7" s="2">
        <v>10000</v>
      </c>
      <c r="F7" s="2">
        <v>42000</v>
      </c>
      <c r="G7" s="2">
        <v>7000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DE0C-4467-4DFC-AC07-9DD537DC0422}">
  <dimension ref="A1:B6"/>
  <sheetViews>
    <sheetView workbookViewId="0">
      <selection sqref="A1:B6"/>
    </sheetView>
  </sheetViews>
  <sheetFormatPr defaultRowHeight="15" x14ac:dyDescent="0.25"/>
  <cols>
    <col min="1" max="1" width="13" customWidth="1"/>
    <col min="2" max="2" width="17.7109375" customWidth="1"/>
  </cols>
  <sheetData>
    <row r="1" spans="1:2" ht="30" x14ac:dyDescent="0.25">
      <c r="A1" s="1" t="s">
        <v>2</v>
      </c>
      <c r="B1" s="1" t="s">
        <v>29</v>
      </c>
    </row>
    <row r="2" spans="1:2" x14ac:dyDescent="0.25">
      <c r="A2" s="2" t="s">
        <v>10</v>
      </c>
      <c r="B2" s="3">
        <v>0.08</v>
      </c>
    </row>
    <row r="3" spans="1:2" x14ac:dyDescent="0.25">
      <c r="A3" s="2" t="s">
        <v>11</v>
      </c>
      <c r="B3" s="3">
        <v>0.12</v>
      </c>
    </row>
    <row r="4" spans="1:2" x14ac:dyDescent="0.25">
      <c r="A4" s="2" t="s">
        <v>13</v>
      </c>
      <c r="B4" s="3">
        <v>0.15</v>
      </c>
    </row>
    <row r="5" spans="1:2" x14ac:dyDescent="0.25">
      <c r="A5" s="2" t="s">
        <v>15</v>
      </c>
      <c r="B5" s="3">
        <v>0.06</v>
      </c>
    </row>
    <row r="6" spans="1:2" x14ac:dyDescent="0.25">
      <c r="A6" s="2" t="s">
        <v>18</v>
      </c>
      <c r="B6" s="3">
        <v>0.18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212E-C4FA-4F13-8ADE-FEC2DB40CEC1}">
  <dimension ref="A1:B5"/>
  <sheetViews>
    <sheetView workbookViewId="0">
      <selection sqref="A1:B5"/>
    </sheetView>
  </sheetViews>
  <sheetFormatPr defaultRowHeight="15" x14ac:dyDescent="0.25"/>
  <cols>
    <col min="1" max="1" width="9.42578125" customWidth="1"/>
    <col min="2" max="2" width="18.7109375" customWidth="1"/>
  </cols>
  <sheetData>
    <row r="1" spans="1:2" ht="30" x14ac:dyDescent="0.25">
      <c r="A1" s="1" t="s">
        <v>1</v>
      </c>
      <c r="B1" s="1" t="s">
        <v>30</v>
      </c>
    </row>
    <row r="2" spans="1:2" x14ac:dyDescent="0.25">
      <c r="A2" s="2" t="s">
        <v>9</v>
      </c>
      <c r="B2" s="3">
        <v>0.05</v>
      </c>
    </row>
    <row r="3" spans="1:2" x14ac:dyDescent="0.25">
      <c r="A3" s="2" t="s">
        <v>12</v>
      </c>
      <c r="B3" s="3">
        <v>7.0000000000000007E-2</v>
      </c>
    </row>
    <row r="4" spans="1:2" x14ac:dyDescent="0.25">
      <c r="A4" s="2" t="s">
        <v>14</v>
      </c>
      <c r="B4" s="3">
        <v>0.04</v>
      </c>
    </row>
    <row r="5" spans="1:2" x14ac:dyDescent="0.25">
      <c r="A5" s="2" t="s">
        <v>16</v>
      </c>
      <c r="B5" s="3">
        <v>0.09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93819B4ADDF142B4AB61A225FF4B91" ma:contentTypeVersion="8" ma:contentTypeDescription="Create a new document." ma:contentTypeScope="" ma:versionID="0e359dce6f3f4f3009be32a8b6a840e0">
  <xsd:schema xmlns:xsd="http://www.w3.org/2001/XMLSchema" xmlns:xs="http://www.w3.org/2001/XMLSchema" xmlns:p="http://schemas.microsoft.com/office/2006/metadata/properties" xmlns:ns3="82afcf15-8d78-4869-b448-0198641f301d" targetNamespace="http://schemas.microsoft.com/office/2006/metadata/properties" ma:root="true" ma:fieldsID="584f12aa7a39dd9afbc8805fdb4eba93" ns3:_="">
    <xsd:import namespace="82afcf15-8d78-4869-b448-0198641f301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fcf15-8d78-4869-b448-0198641f301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0A623D-7DC0-4E5C-97AA-4ABD553B55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afcf15-8d78-4869-b448-0198641f30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B1C5C7-0AC1-46F3-A6C6-482CFC1A4A6C}">
  <ds:schemaRefs>
    <ds:schemaRef ds:uri="http://purl.org/dc/terms/"/>
    <ds:schemaRef ds:uri="82afcf15-8d78-4869-b448-0198641f301d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B6B1FAC-3F81-48EB-8FCE-951441B1A9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Monthly_Sales_Data </vt:lpstr>
      <vt:lpstr>Fixed_Operation_Costs</vt:lpstr>
      <vt:lpstr>Product_Return_Rates</vt:lpstr>
      <vt:lpstr>Regional_Discounts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Rammar Jackson</dc:creator>
  <cp:lastModifiedBy>Rammar Jackson</cp:lastModifiedBy>
  <dcterms:created xsi:type="dcterms:W3CDTF">2026-02-18T11:25:54Z</dcterms:created>
  <dcterms:modified xsi:type="dcterms:W3CDTF">2026-03-23T09:26:26Z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0x0101002C93819B4ADDF142B4AB61A225FF4B91</vt:lpwstr>
  </property>
</Properties>
</file>